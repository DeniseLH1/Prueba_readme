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77F39B05-245A-455C-A3C3-1585EA4FCAA9}" xr6:coauthVersionLast="47" xr6:coauthVersionMax="47" xr10:uidLastSave="{00000000-0000-0000-0000-000000000000}"/>
  <bookViews>
    <workbookView xWindow="-108" yWindow="-108" windowWidth="23256" windowHeight="12576" xr2:uid="{BF1D008A-1D92-4DD3-9F3B-AE8612111A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1" l="1"/>
  <c r="P7" i="1"/>
  <c r="P8" i="1"/>
  <c r="M12" i="1"/>
  <c r="Q2" i="1"/>
  <c r="M11" i="1"/>
  <c r="G14" i="1"/>
  <c r="J14" i="1"/>
  <c r="J13" i="1"/>
  <c r="J12" i="1"/>
  <c r="J11" i="1"/>
  <c r="J10" i="1"/>
  <c r="I10" i="1"/>
  <c r="I11" i="1"/>
  <c r="I12" i="1"/>
  <c r="I13" i="1"/>
  <c r="I14" i="1"/>
  <c r="G11" i="1"/>
  <c r="G12" i="1"/>
  <c r="G13" i="1"/>
  <c r="G10" i="1"/>
  <c r="F14" i="1"/>
  <c r="E11" i="1"/>
  <c r="E12" i="1"/>
  <c r="E13" i="1"/>
  <c r="E10" i="1"/>
  <c r="C11" i="1"/>
  <c r="C12" i="1"/>
  <c r="C13" i="1"/>
  <c r="D11" i="1"/>
  <c r="D12" i="1"/>
  <c r="D13" i="1"/>
  <c r="D10" i="1"/>
  <c r="C10" i="1"/>
  <c r="B7" i="1"/>
  <c r="B5" i="1"/>
  <c r="B6" i="1"/>
</calcChain>
</file>

<file path=xl/sharedStrings.xml><?xml version="1.0" encoding="utf-8"?>
<sst xmlns="http://schemas.openxmlformats.org/spreadsheetml/2006/main" count="39" uniqueCount="33">
  <si>
    <t>n</t>
  </si>
  <si>
    <t>A</t>
  </si>
  <si>
    <t>K</t>
  </si>
  <si>
    <t>i</t>
  </si>
  <si>
    <t xml:space="preserve">            Clases reales</t>
  </si>
  <si>
    <t>x</t>
  </si>
  <si>
    <t>f</t>
  </si>
  <si>
    <t>Marca de clase es la suma de clases aparentes dividido 2</t>
  </si>
  <si>
    <t>x*f</t>
  </si>
  <si>
    <t>fa</t>
  </si>
  <si>
    <t>fr</t>
  </si>
  <si>
    <t>f%</t>
  </si>
  <si>
    <t xml:space="preserve">          Clases aparentes</t>
  </si>
  <si>
    <t xml:space="preserve">Media </t>
  </si>
  <si>
    <t>Mediana</t>
  </si>
  <si>
    <t>li limite inferior</t>
  </si>
  <si>
    <t>F-1=frecuencia acumulada antearior</t>
  </si>
  <si>
    <t>f-1=ferciencia absoluta anterior</t>
  </si>
  <si>
    <t>f+1=fercuencia absoluta posterior</t>
  </si>
  <si>
    <t>Me=LI+((n/2-F-1)/f)</t>
  </si>
  <si>
    <t>Me</t>
  </si>
  <si>
    <t>Li</t>
  </si>
  <si>
    <t>n/2</t>
  </si>
  <si>
    <t>F-1</t>
  </si>
  <si>
    <t>f-1</t>
  </si>
  <si>
    <t>Aproximado=5</t>
  </si>
  <si>
    <t xml:space="preserve">Moda </t>
  </si>
  <si>
    <t xml:space="preserve">        Para mediana</t>
  </si>
  <si>
    <t>6 ES MODA EN F</t>
  </si>
  <si>
    <t>f+1</t>
  </si>
  <si>
    <t xml:space="preserve">i </t>
  </si>
  <si>
    <t xml:space="preserve">               Para moda</t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</si>
  <si>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Datos ordenados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</si>
</sst>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 applyAlignment="1">
      <alignment horizontal="center"/>
    </xf>
    <xf numFmtId="0" fontId="0" fillId="6" borderId="0" xfId="0" applyFill="1" applyAlignment="1">
      <alignment horizontal="center"/>
    </xf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2" borderId="0" xfId="0" applyFill="1"/>
    <xf numFmtId="0" fontId="0" fillId="13" borderId="1" xfId="0" applyFill="1" applyBorder="1" applyAlignment="1">
      <alignment horizontal="center"/>
    </xf>
    <xf numFmtId="0" fontId="0" fillId="13" borderId="2" xfId="0" applyFill="1" applyBorder="1"/>
    <xf numFmtId="0" fontId="0" fillId="15" borderId="1" xfId="0" applyFill="1" applyBorder="1"/>
    <xf numFmtId="0" fontId="0" fillId="11" borderId="2" xfId="0" applyFill="1" applyBorder="1" applyAlignment="1">
      <alignment horizontal="center"/>
    </xf>
    <xf numFmtId="0" fontId="1" fillId="14" borderId="1" xfId="0" applyFont="1" applyFill="1" applyBorder="1"/>
    <xf numFmtId="0" fontId="0" fillId="17" borderId="1" xfId="0" applyFill="1" applyBorder="1" applyAlignment="1">
      <alignment horizontal="center"/>
    </xf>
    <xf numFmtId="0" fontId="0" fillId="17" borderId="1" xfId="0" applyFill="1" applyBorder="1"/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18" borderId="0" xfId="0" applyFill="1"/>
    <xf numFmtId="0" fontId="0" fillId="18" borderId="1" xfId="0" applyFill="1" applyBorder="1"/>
    <xf numFmtId="0" fontId="0" fillId="16" borderId="1" xfId="0" applyFill="1" applyBorder="1"/>
    <xf numFmtId="0" fontId="0" fillId="19" borderId="0" xfId="0" applyFill="1"/>
    <xf numFmtId="0" fontId="0" fillId="20" borderId="1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0" borderId="1" xfId="0" applyFill="1" applyBorder="1"/>
    <xf numFmtId="0" fontId="0" fillId="21" borderId="1" xfId="0" applyFill="1" applyBorder="1"/>
    <xf numFmtId="0" fontId="0" fillId="13" borderId="1" xfId="0" applyFill="1" applyBorder="1"/>
    <xf numFmtId="0" fontId="0" fillId="6" borderId="0" xfId="0" applyFill="1"/>
    <xf numFmtId="0" fontId="0" fillId="10" borderId="0" xfId="0" applyFill="1"/>
    <xf numFmtId="0" fontId="0" fillId="2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66FFCC"/>
      <color rgb="FFFF99FF"/>
      <color rgb="FFCC66FF"/>
      <color rgb="FF99FF66"/>
      <color rgb="FFFFCCCC"/>
      <color rgb="FFFF6600"/>
      <color rgb="FF66FF66"/>
      <color rgb="FFFF33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70CD5-DB53-4436-8236-DF9A0EC97241}">
  <dimension ref="A1:Q22"/>
  <sheetViews>
    <sheetView tabSelected="1" workbookViewId="0">
      <selection activeCell="O7" sqref="O7"/>
    </sheetView>
  </sheetViews>
  <sheetFormatPr baseColWidth="10" defaultRowHeight="14.4" x14ac:dyDescent="0.3"/>
  <cols>
    <col min="3" max="3" width="10.21875" customWidth="1"/>
    <col min="4" max="4" width="9.88671875" customWidth="1"/>
    <col min="5" max="5" width="10.6640625" customWidth="1"/>
    <col min="7" max="8" width="11" customWidth="1"/>
    <col min="9" max="9" width="10.88671875" customWidth="1"/>
  </cols>
  <sheetData>
    <row r="1" spans="1:17" x14ac:dyDescent="0.3">
      <c r="A1" s="37">
        <v>25</v>
      </c>
      <c r="B1" s="37">
        <v>26</v>
      </c>
      <c r="C1" s="37">
        <v>26</v>
      </c>
      <c r="D1" s="37">
        <v>30</v>
      </c>
      <c r="E1" s="37">
        <v>31</v>
      </c>
      <c r="F1" s="37">
        <v>32</v>
      </c>
      <c r="G1" s="37">
        <v>36</v>
      </c>
      <c r="H1" s="37">
        <v>36</v>
      </c>
      <c r="I1" s="37" t="s">
        <v>32</v>
      </c>
      <c r="J1" s="37"/>
      <c r="M1" t="s">
        <v>15</v>
      </c>
      <c r="P1" s="4" t="s">
        <v>19</v>
      </c>
      <c r="Q1" s="4"/>
    </row>
    <row r="2" spans="1:17" x14ac:dyDescent="0.3">
      <c r="A2" s="37">
        <v>37</v>
      </c>
      <c r="B2" s="37">
        <v>37</v>
      </c>
      <c r="C2" s="37">
        <v>37</v>
      </c>
      <c r="D2" s="37">
        <v>40</v>
      </c>
      <c r="E2" s="37">
        <v>41</v>
      </c>
      <c r="F2" s="37">
        <v>42</v>
      </c>
      <c r="G2" s="37">
        <v>44</v>
      </c>
      <c r="H2" s="37">
        <v>44</v>
      </c>
      <c r="M2" t="s">
        <v>16</v>
      </c>
      <c r="P2" s="4" t="s">
        <v>20</v>
      </c>
      <c r="Q2" s="4">
        <f>B4/2</f>
        <v>8</v>
      </c>
    </row>
    <row r="3" spans="1:17" x14ac:dyDescent="0.3">
      <c r="M3" t="s">
        <v>17</v>
      </c>
    </row>
    <row r="4" spans="1:17" x14ac:dyDescent="0.3">
      <c r="A4" s="2" t="s">
        <v>0</v>
      </c>
      <c r="B4" s="2">
        <v>16</v>
      </c>
      <c r="E4">
        <v>44</v>
      </c>
      <c r="F4">
        <v>25</v>
      </c>
      <c r="M4" t="s">
        <v>18</v>
      </c>
    </row>
    <row r="5" spans="1:17" x14ac:dyDescent="0.3">
      <c r="A5" s="3" t="s">
        <v>1</v>
      </c>
      <c r="B5" s="3">
        <f>E4-F4</f>
        <v>19</v>
      </c>
      <c r="J5" s="29" t="s">
        <v>28</v>
      </c>
      <c r="K5" s="29"/>
    </row>
    <row r="6" spans="1:17" x14ac:dyDescent="0.3">
      <c r="A6" s="4" t="s">
        <v>2</v>
      </c>
      <c r="B6" s="4">
        <f>SQRT(B4)</f>
        <v>4</v>
      </c>
    </row>
    <row r="7" spans="1:17" x14ac:dyDescent="0.3">
      <c r="A7" s="5" t="s">
        <v>3</v>
      </c>
      <c r="B7" s="5">
        <f>B5/B6</f>
        <v>4.75</v>
      </c>
      <c r="C7" s="26" t="s">
        <v>25</v>
      </c>
      <c r="D7" s="26"/>
      <c r="O7" s="35" t="s">
        <v>14</v>
      </c>
      <c r="P7" s="35">
        <f>MEDIAN(A1:H2)</f>
        <v>36.5</v>
      </c>
    </row>
    <row r="8" spans="1:17" x14ac:dyDescent="0.3">
      <c r="E8" t="s">
        <v>7</v>
      </c>
      <c r="O8" s="36" t="s">
        <v>26</v>
      </c>
      <c r="P8" s="36">
        <f>MODE(A1:H2)</f>
        <v>37</v>
      </c>
    </row>
    <row r="9" spans="1:17" x14ac:dyDescent="0.3">
      <c r="A9" s="8" t="s">
        <v>12</v>
      </c>
      <c r="B9" s="9"/>
      <c r="C9" s="10" t="s">
        <v>4</v>
      </c>
      <c r="D9" s="10"/>
      <c r="E9" s="11" t="s">
        <v>5</v>
      </c>
      <c r="F9" s="12" t="s">
        <v>6</v>
      </c>
      <c r="G9" s="13" t="s">
        <v>8</v>
      </c>
      <c r="H9" s="14" t="s">
        <v>9</v>
      </c>
      <c r="I9" s="15" t="s">
        <v>10</v>
      </c>
      <c r="J9" s="17" t="s">
        <v>11</v>
      </c>
    </row>
    <row r="10" spans="1:17" x14ac:dyDescent="0.3">
      <c r="A10" s="1">
        <v>25</v>
      </c>
      <c r="B10" s="1">
        <v>30</v>
      </c>
      <c r="C10" s="1">
        <f>A10-0.5</f>
        <v>24.5</v>
      </c>
      <c r="D10" s="1">
        <f>B10+0.5</f>
        <v>30.5</v>
      </c>
      <c r="E10" s="6">
        <f>(A10+B10)/2</f>
        <v>27.5</v>
      </c>
      <c r="F10" s="6">
        <v>4</v>
      </c>
      <c r="G10" s="6">
        <f>E10*F10</f>
        <v>110</v>
      </c>
      <c r="H10" s="6">
        <v>4</v>
      </c>
      <c r="I10" s="6">
        <f>F10/F14</f>
        <v>0.25</v>
      </c>
      <c r="J10" s="1">
        <f>I10*100</f>
        <v>25</v>
      </c>
    </row>
    <row r="11" spans="1:17" x14ac:dyDescent="0.3">
      <c r="A11" s="1">
        <v>30</v>
      </c>
      <c r="B11" s="1">
        <v>35</v>
      </c>
      <c r="C11" s="1">
        <f t="shared" ref="C11:C13" si="0">A11-0.5</f>
        <v>29.5</v>
      </c>
      <c r="D11" s="1">
        <f t="shared" ref="D11:D13" si="1">B11+0.5</f>
        <v>35.5</v>
      </c>
      <c r="E11" s="6">
        <f t="shared" ref="E11:E13" si="2">(A11+B11)/2</f>
        <v>32.5</v>
      </c>
      <c r="F11" s="30">
        <v>2</v>
      </c>
      <c r="G11" s="6">
        <f t="shared" ref="G11:G13" si="3">E11*F11</f>
        <v>65</v>
      </c>
      <c r="H11" s="24">
        <v>6</v>
      </c>
      <c r="I11" s="6">
        <f>F11/F14</f>
        <v>0.125</v>
      </c>
      <c r="J11" s="1">
        <f>I11*100</f>
        <v>12.5</v>
      </c>
      <c r="L11" s="21" t="s">
        <v>13</v>
      </c>
      <c r="M11" s="19">
        <f>G14/B4</f>
        <v>35.625</v>
      </c>
    </row>
    <row r="12" spans="1:17" x14ac:dyDescent="0.3">
      <c r="A12" s="2">
        <v>35</v>
      </c>
      <c r="B12" s="23">
        <v>40</v>
      </c>
      <c r="C12" s="23">
        <f t="shared" si="0"/>
        <v>34.5</v>
      </c>
      <c r="D12" s="23">
        <f t="shared" si="1"/>
        <v>40.5</v>
      </c>
      <c r="E12" s="22">
        <f t="shared" si="2"/>
        <v>37.5</v>
      </c>
      <c r="F12" s="25">
        <v>6</v>
      </c>
      <c r="G12" s="22">
        <f t="shared" si="3"/>
        <v>225</v>
      </c>
      <c r="H12" s="22">
        <v>12</v>
      </c>
      <c r="I12" s="22">
        <f>F12/F14</f>
        <v>0.375</v>
      </c>
      <c r="J12" s="23">
        <f>I12*100</f>
        <v>37.5</v>
      </c>
      <c r="L12" s="28" t="s">
        <v>14</v>
      </c>
      <c r="M12" s="28">
        <f>F17+((F18-F19)/F20)*F21</f>
        <v>36.666666666666664</v>
      </c>
    </row>
    <row r="13" spans="1:17" x14ac:dyDescent="0.3">
      <c r="A13" s="1">
        <v>40</v>
      </c>
      <c r="B13" s="1">
        <v>45</v>
      </c>
      <c r="C13" s="1">
        <f t="shared" si="0"/>
        <v>39.5</v>
      </c>
      <c r="D13" s="1">
        <f t="shared" si="1"/>
        <v>45.5</v>
      </c>
      <c r="E13" s="6">
        <f t="shared" si="2"/>
        <v>42.5</v>
      </c>
      <c r="F13" s="31">
        <v>4</v>
      </c>
      <c r="G13" s="6">
        <f t="shared" si="3"/>
        <v>170</v>
      </c>
      <c r="H13" s="6">
        <v>16</v>
      </c>
      <c r="I13" s="6">
        <f>F13/F14</f>
        <v>0.25</v>
      </c>
      <c r="J13" s="1">
        <f>I13*100</f>
        <v>25</v>
      </c>
      <c r="L13" s="34" t="s">
        <v>26</v>
      </c>
      <c r="M13" s="34">
        <f>J18+((J19-J20)/(J19-J20)+(J19-J21))*J22</f>
        <v>50</v>
      </c>
    </row>
    <row r="14" spans="1:17" x14ac:dyDescent="0.3">
      <c r="F14" s="7">
        <f>SUM(F10:F13)</f>
        <v>16</v>
      </c>
      <c r="G14" s="20">
        <f>SUM(G10:G13)</f>
        <v>570</v>
      </c>
      <c r="I14" s="16">
        <f>SUM(I10:I13)</f>
        <v>1</v>
      </c>
      <c r="J14" s="18">
        <f>SUM(J10:J13)</f>
        <v>100</v>
      </c>
    </row>
    <row r="16" spans="1:17" x14ac:dyDescent="0.3">
      <c r="E16" s="3" t="s">
        <v>27</v>
      </c>
      <c r="F16" s="3"/>
    </row>
    <row r="17" spans="5:10" x14ac:dyDescent="0.3">
      <c r="E17" s="2" t="s">
        <v>21</v>
      </c>
      <c r="F17" s="2">
        <v>35</v>
      </c>
      <c r="I17" s="4" t="s">
        <v>31</v>
      </c>
      <c r="J17" s="4"/>
    </row>
    <row r="18" spans="5:10" x14ac:dyDescent="0.3">
      <c r="E18" s="4" t="s">
        <v>22</v>
      </c>
      <c r="F18" s="4">
        <v>8</v>
      </c>
      <c r="I18" s="2" t="s">
        <v>21</v>
      </c>
      <c r="J18" s="2">
        <v>35</v>
      </c>
    </row>
    <row r="19" spans="5:10" x14ac:dyDescent="0.3">
      <c r="E19" s="3" t="s">
        <v>23</v>
      </c>
      <c r="F19" s="3">
        <v>6</v>
      </c>
      <c r="I19" s="5" t="s">
        <v>6</v>
      </c>
      <c r="J19" s="5">
        <v>6</v>
      </c>
    </row>
    <row r="20" spans="5:10" x14ac:dyDescent="0.3">
      <c r="E20" s="5" t="s">
        <v>6</v>
      </c>
      <c r="F20" s="5">
        <v>6</v>
      </c>
      <c r="I20" s="32" t="s">
        <v>24</v>
      </c>
      <c r="J20" s="32">
        <v>2</v>
      </c>
    </row>
    <row r="21" spans="5:10" x14ac:dyDescent="0.3">
      <c r="E21" s="27" t="s">
        <v>3</v>
      </c>
      <c r="F21" s="27">
        <v>5</v>
      </c>
      <c r="I21" s="33" t="s">
        <v>29</v>
      </c>
      <c r="J21" s="33">
        <v>4</v>
      </c>
    </row>
    <row r="22" spans="5:10" x14ac:dyDescent="0.3">
      <c r="I22" s="27" t="s">
        <v>30</v>
      </c>
      <c r="J22" s="27">
        <v>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2025-02-21T14:52:47Z</dcterms:created>
  <dcterms:modified xsi:type="dcterms:W3CDTF">2025-02-21T16:01:59Z</dcterms:modified>
</cp:coreProperties>
</file>